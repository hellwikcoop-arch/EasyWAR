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Сц" sheetId="1" state="hidden" r:id="rId1"/>
    <sheet name="витр.залиш.-СН" sheetId="2" state="visible" r:id="rId2"/>
    <sheet name="витр.залиш.-ЗАР" sheetId="3" state="visible" r:id="rId3"/>
    <sheet name="втр.прот!" sheetId="4" state="visible" r:id="rId4"/>
    <sheet name="Витрата снарядів" sheetId="5" state="visible" r:id="rId5"/>
    <sheet name="потреба" sheetId="6" state="hidden" r:id="rId6"/>
    <sheet name="Заявка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Список виконаних вогневих завдань</t>
        </is>
      </c>
    </row>
    <row r="4">
      <c r="A4" t="inlineStr">
        <is>
          <t>№ з/п</t>
        </is>
      </c>
      <c r="B4" t="inlineStr">
        <is>
          <t>Час</t>
        </is>
      </c>
      <c r="C4" t="inlineStr">
        <is>
          <t>Артилерійська система</t>
        </is>
      </c>
      <c r="D4" t="inlineStr">
        <is>
          <t>Координати цілі (MGRS)</t>
        </is>
      </c>
      <c r="E4" t="inlineStr">
        <is>
          <t>Район</t>
        </is>
      </c>
      <c r="F4" t="inlineStr">
        <is>
          <t>Характер цілі</t>
        </is>
      </c>
      <c r="G4" t="inlineStr">
        <is>
          <t>Підрозділ який виконував в/з</t>
        </is>
      </c>
      <c r="H4" t="inlineStr">
        <is>
          <t>Калібр снаряду</t>
        </is>
      </c>
      <c r="I4" t="inlineStr">
        <is>
          <t>К-сть б-сів</t>
        </is>
      </c>
      <c r="J4" t="inlineStr">
        <is>
          <t>Результат ураження</t>
        </is>
      </c>
      <c r="K4" t="inlineStr">
        <is>
          <t>Марка снаряду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Витрата та залишок боєприпасів в підрозділах артилерії УДШВ</t>
        </is>
      </c>
    </row>
    <row r="2">
      <c r="A2" t="inlineStr">
        <is>
          <t>Сили (засоби)</t>
        </is>
      </c>
      <c r="B2" t="inlineStr">
        <is>
          <t>11 одшбр</t>
        </is>
      </c>
      <c r="D2" t="inlineStr">
        <is>
          <t>12 одшбр</t>
        </is>
      </c>
      <c r="F2" t="inlineStr">
        <is>
          <t>13 ошп</t>
        </is>
      </c>
      <c r="H2" t="inlineStr">
        <is>
          <t>АГр, РУК 14 оабр</t>
        </is>
      </c>
      <c r="L2" t="inlineStr">
        <is>
          <t>ВСЬОГО</t>
        </is>
      </c>
    </row>
    <row r="3">
      <c r="A3" t="inlineStr">
        <is>
          <t>Витрата високоточних боєприпасів</t>
        </is>
      </c>
    </row>
    <row r="4">
      <c r="B4" t="inlineStr">
        <is>
          <t>витрата б/п</t>
        </is>
      </c>
      <c r="C4" t="inlineStr">
        <is>
          <t>залишок б/п</t>
        </is>
      </c>
      <c r="D4" t="inlineStr">
        <is>
          <t>витрата б/п</t>
        </is>
      </c>
      <c r="E4" t="inlineStr">
        <is>
          <t>залишок б/п</t>
        </is>
      </c>
      <c r="F4" t="inlineStr">
        <is>
          <t>витрата б/п</t>
        </is>
      </c>
      <c r="G4" t="inlineStr">
        <is>
          <t>залишок б/п</t>
        </is>
      </c>
      <c r="H4" t="inlineStr">
        <is>
          <t>витрата б/п</t>
        </is>
      </c>
      <c r="I4" t="inlineStr">
        <is>
          <t>залишок б/п</t>
        </is>
      </c>
      <c r="J4" t="inlineStr">
        <is>
          <t>витрата б/п</t>
        </is>
      </c>
      <c r="K4" t="inlineStr">
        <is>
          <t>залишок б/п</t>
        </is>
      </c>
      <c r="L4" t="inlineStr">
        <is>
          <t>витрата б/п</t>
        </is>
      </c>
      <c r="M4" t="inlineStr">
        <is>
          <t>залишок б/п</t>
        </is>
      </c>
    </row>
    <row r="5">
      <c r="A5" t="inlineStr">
        <is>
          <t>155 мм М982 Excalibur</t>
        </is>
      </c>
      <c r="E5" t="n">
        <v>8</v>
      </c>
      <c r="L5">
        <f>B5+D5+F5+H5+J5</f>
        <v/>
      </c>
      <c r="M5">
        <f>C5+E5+G5+I5+K5</f>
        <v/>
      </c>
    </row>
    <row r="6">
      <c r="A6" t="inlineStr">
        <is>
          <t>155 мм Bonus</t>
        </is>
      </c>
      <c r="L6">
        <f>B6+D6+F6+H6+J6</f>
        <v/>
      </c>
      <c r="M6">
        <f>C6+E6+G6+I6+K6</f>
        <v/>
      </c>
    </row>
    <row r="7">
      <c r="A7" t="inlineStr">
        <is>
          <t>155 мм Vulcano</t>
        </is>
      </c>
      <c r="L7">
        <f>B7+D7+F7+H7+J7</f>
        <v/>
      </c>
      <c r="M7">
        <f>C7+E7+G7+I7+K7</f>
        <v/>
      </c>
    </row>
    <row r="8">
      <c r="A8" t="inlineStr">
        <is>
          <t>155 мм DM702</t>
        </is>
      </c>
      <c r="L8">
        <f>B8+D8+F8+H8+J8</f>
        <v/>
      </c>
      <c r="M8">
        <f>C8+E8+G8+I8+K8</f>
        <v/>
      </c>
    </row>
    <row r="9">
      <c r="A9" t="inlineStr">
        <is>
          <t>155 мм Coperhed</t>
        </is>
      </c>
      <c r="C9" t="n">
        <v>7</v>
      </c>
      <c r="L9">
        <f>B9+D9+F9+H9+J9</f>
        <v/>
      </c>
      <c r="M9">
        <f>C9+E9+G9+I9+K9</f>
        <v/>
      </c>
    </row>
    <row r="10">
      <c r="A10" t="inlineStr">
        <is>
          <t xml:space="preserve">ВСЬОГО: </t>
        </is>
      </c>
      <c r="B10">
        <f>SUM(B5:B9)</f>
        <v/>
      </c>
      <c r="C10">
        <f>SUM(C5:C9)</f>
        <v/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  <c r="I10">
        <f>SUM(I5:I9)</f>
        <v/>
      </c>
      <c r="J10">
        <f>SUM(J5:J9)</f>
        <v/>
      </c>
      <c r="K10">
        <f>SUM(K5:K9)</f>
        <v/>
      </c>
      <c r="L10">
        <f>SUM(L5:L9)</f>
        <v/>
      </c>
      <c r="M10">
        <f>SUM(M5:M9)</f>
        <v/>
      </c>
    </row>
    <row r="11">
      <c r="A11" t="inlineStr">
        <is>
          <t>Кількість витрати боєприпасів</t>
        </is>
      </c>
    </row>
    <row r="12">
      <c r="B12" t="inlineStr">
        <is>
          <t>витрата б/п</t>
        </is>
      </c>
      <c r="C12" t="inlineStr">
        <is>
          <t>залишок б/п</t>
        </is>
      </c>
      <c r="D12" t="inlineStr">
        <is>
          <t>витрата б/п</t>
        </is>
      </c>
      <c r="E12" t="inlineStr">
        <is>
          <t>залишок б/п</t>
        </is>
      </c>
      <c r="F12" t="inlineStr">
        <is>
          <t>витрата б/п</t>
        </is>
      </c>
      <c r="G12" t="inlineStr">
        <is>
          <t>залишок б/п</t>
        </is>
      </c>
      <c r="H12" t="inlineStr">
        <is>
          <t>витрата б/п</t>
        </is>
      </c>
      <c r="I12" t="inlineStr">
        <is>
          <t>залишок б/п</t>
        </is>
      </c>
      <c r="J12" t="inlineStr">
        <is>
          <t>витрата б/п</t>
        </is>
      </c>
      <c r="K12" t="inlineStr">
        <is>
          <t>залишок б/п</t>
        </is>
      </c>
      <c r="L12" t="inlineStr">
        <is>
          <t>витрата б/п</t>
        </is>
      </c>
      <c r="M12" t="inlineStr">
        <is>
          <t>залишок б/п</t>
        </is>
      </c>
    </row>
    <row r="13">
      <c r="A13" t="inlineStr">
        <is>
          <t>60 мм міна ОФ</t>
        </is>
      </c>
      <c r="B13" t="n">
        <v>3</v>
      </c>
      <c r="C13" t="n">
        <v>120</v>
      </c>
      <c r="E13" t="n">
        <v>80</v>
      </c>
      <c r="L13">
        <f>B13+D13+F13+H13+J13</f>
        <v/>
      </c>
      <c r="M13">
        <f>C13+E13+G13+I13+K13</f>
        <v/>
      </c>
    </row>
    <row r="14">
      <c r="A14" t="inlineStr">
        <is>
          <t>82 мм міна ОФ</t>
        </is>
      </c>
      <c r="B14" t="n">
        <v>10</v>
      </c>
      <c r="C14" t="n">
        <v>400</v>
      </c>
      <c r="D14" t="n">
        <v>4</v>
      </c>
      <c r="E14" t="n">
        <v>250</v>
      </c>
      <c r="G14" t="n">
        <v>90</v>
      </c>
      <c r="L14">
        <f>B14+D14+F14+H14+J14</f>
        <v/>
      </c>
      <c r="M14">
        <f>C14+E14+G14+I14+K14</f>
        <v/>
      </c>
    </row>
    <row r="15">
      <c r="A15" t="inlineStr">
        <is>
          <t>120 мм міна ОФ</t>
        </is>
      </c>
      <c r="B15" t="n">
        <v>25</v>
      </c>
      <c r="C15" t="n">
        <v>900</v>
      </c>
      <c r="E15" t="n">
        <v>640</v>
      </c>
      <c r="L15">
        <f>B15+D15+F15+H15+J15</f>
        <v/>
      </c>
      <c r="M15">
        <f>C15+E15+G15+I15+K15</f>
        <v/>
      </c>
    </row>
    <row r="16">
      <c r="A16" t="inlineStr">
        <is>
          <t>122 мм постріли  РС 21ОФ</t>
        </is>
      </c>
      <c r="B16" t="n">
        <v>8</v>
      </c>
      <c r="C16" t="n">
        <v>60</v>
      </c>
      <c r="L16">
        <f>B16+D16+F16+H16+J16</f>
        <v/>
      </c>
      <c r="M16">
        <f>C16+E16+G16+I16+K16</f>
        <v/>
      </c>
    </row>
    <row r="17">
      <c r="A17" t="inlineStr">
        <is>
          <t>122 мм ВОФ-5</t>
        </is>
      </c>
      <c r="D17" t="n">
        <v>12</v>
      </c>
      <c r="E17" t="n">
        <v>300</v>
      </c>
      <c r="L17">
        <f>B17+D17+F17+H17+J17</f>
        <v/>
      </c>
      <c r="M17">
        <f>C17+E17+G17+I17+K17</f>
        <v/>
      </c>
    </row>
    <row r="18">
      <c r="A18" t="inlineStr">
        <is>
          <t>152 мм ВОФ-546</t>
        </is>
      </c>
      <c r="H18" t="n">
        <v>5</v>
      </c>
      <c r="I18" t="n">
        <v>410</v>
      </c>
      <c r="L18">
        <f>B18+D18+F18+H18+J18</f>
        <v/>
      </c>
      <c r="M18">
        <f>C18+E18+G18+I18+K18</f>
        <v/>
      </c>
    </row>
    <row r="19">
      <c r="A19" t="inlineStr">
        <is>
          <t>155 мм постріл М107/М1(ОФ)</t>
        </is>
      </c>
      <c r="C19" t="n">
        <v>505</v>
      </c>
      <c r="D19" t="n">
        <v>7</v>
      </c>
      <c r="E19" t="n">
        <v>2640</v>
      </c>
      <c r="H19" t="n">
        <v>14</v>
      </c>
      <c r="I19" t="n">
        <v>493</v>
      </c>
      <c r="L19">
        <f>B19+D19+F19+H19+J19</f>
        <v/>
      </c>
      <c r="M19">
        <f>C19+E19+G19+I19+K19</f>
        <v/>
      </c>
    </row>
    <row r="20">
      <c r="A20" t="inlineStr">
        <is>
          <t>155 мм постріл М795 (ОФ)</t>
        </is>
      </c>
      <c r="E20" t="n">
        <v>80</v>
      </c>
      <c r="H20" t="n">
        <v>6</v>
      </c>
      <c r="I20" t="n">
        <v>120</v>
      </c>
      <c r="L20">
        <f>B20+D20+F20+H20+J20</f>
        <v/>
      </c>
      <c r="M20">
        <f>C20+E20+G20+I20+K20</f>
        <v/>
      </c>
    </row>
    <row r="21">
      <c r="A21" t="inlineStr">
        <is>
          <t>155 мм постріл М483  (КАС)</t>
        </is>
      </c>
      <c r="E21" t="n">
        <v>56</v>
      </c>
      <c r="I21" t="n">
        <v>142</v>
      </c>
      <c r="L21">
        <f>B21+D21+F21+H21+J21</f>
        <v/>
      </c>
      <c r="M21">
        <f>C21+E21+G21+I21+K21</f>
        <v/>
      </c>
    </row>
    <row r="22">
      <c r="A22" t="inlineStr">
        <is>
          <t>155 мм постріл М741 (Д/М)</t>
        </is>
      </c>
      <c r="E22" t="n">
        <v>342</v>
      </c>
      <c r="I22" t="n">
        <v>985</v>
      </c>
      <c r="L22">
        <f>B22+D22+F22+H22+J22</f>
        <v/>
      </c>
      <c r="M22">
        <f>C22+E22+G22+I22+K22</f>
        <v/>
      </c>
    </row>
    <row r="23">
      <c r="A23" t="inlineStr">
        <is>
          <t>155 мм постріл DM105 (ДИМ)</t>
        </is>
      </c>
      <c r="C23" t="n">
        <v>30</v>
      </c>
      <c r="H23" t="n">
        <v>2</v>
      </c>
      <c r="I23" t="n">
        <v>18</v>
      </c>
      <c r="L23">
        <f>B23+D23+F23+H23+J23</f>
        <v/>
      </c>
      <c r="M23">
        <f>C23+E23+G23+I23+K23</f>
        <v/>
      </c>
    </row>
    <row r="24">
      <c r="A24" t="inlineStr">
        <is>
          <t>155 мм постріл DM116 (ОСВ)</t>
        </is>
      </c>
      <c r="E24" t="n">
        <v>11</v>
      </c>
      <c r="I24" t="n">
        <v>24</v>
      </c>
      <c r="L24">
        <f>B24+D24+F24+H24+J24</f>
        <v/>
      </c>
      <c r="M24">
        <f>C24+E24+G24+I24+K24</f>
        <v/>
      </c>
    </row>
    <row r="25">
      <c r="A25" t="inlineStr">
        <is>
          <t>203 мм постріл ОФ М650</t>
        </is>
      </c>
      <c r="H25" t="n">
        <v>1</v>
      </c>
      <c r="I25" t="n">
        <v>16</v>
      </c>
      <c r="L25">
        <f>B25+D25+F25+H25+J25</f>
        <v/>
      </c>
      <c r="M25">
        <f>C25+E25+G25+I25+K25</f>
        <v/>
      </c>
    </row>
    <row r="26">
      <c r="A26" t="inlineStr">
        <is>
          <t>227 мм М31А2 (ОФ)</t>
        </is>
      </c>
      <c r="H26" t="n">
        <v>2</v>
      </c>
      <c r="I26" t="n">
        <v>40</v>
      </c>
      <c r="L26">
        <f>B26+D26+F26+H26+J26</f>
        <v/>
      </c>
      <c r="M26">
        <f>C26+E26+G26+I26+K26</f>
        <v/>
      </c>
    </row>
    <row r="27">
      <c r="A27" t="inlineStr">
        <is>
          <t xml:space="preserve">ВСЬОГО: </t>
        </is>
      </c>
      <c r="B27">
        <f>SUM(B13:B26)</f>
        <v/>
      </c>
      <c r="C27">
        <f>SUM(C13:C26)</f>
        <v/>
      </c>
      <c r="D27">
        <f>SUM(D13:D26)</f>
        <v/>
      </c>
      <c r="E27">
        <f>SUM(E13:E26)</f>
        <v/>
      </c>
      <c r="F27">
        <f>SUM(F13:F26)</f>
        <v/>
      </c>
      <c r="G27">
        <f>SUM(G13:G26)</f>
        <v/>
      </c>
      <c r="H27">
        <f>SUM(H13:H26)</f>
        <v/>
      </c>
      <c r="I27">
        <f>SUM(I13:I26)</f>
        <v/>
      </c>
      <c r="J27">
        <f>SUM(J13:J26)</f>
        <v/>
      </c>
      <c r="K27">
        <f>SUM(K13:K26)</f>
        <v/>
      </c>
      <c r="L27">
        <f>SUM(L13:L26)</f>
        <v/>
      </c>
      <c r="M27">
        <f>SUM(M13:M26)</f>
        <v/>
      </c>
    </row>
    <row r="29">
      <c r="A29" t="inlineStr">
        <is>
          <t>Витрата та залишок боєприпасів в підрозділах артилерії УДШВ</t>
        </is>
      </c>
    </row>
    <row r="30">
      <c r="A30" t="inlineStr">
        <is>
          <t>Сили (засоби)</t>
        </is>
      </c>
      <c r="B30" t="inlineStr">
        <is>
          <t>11 одшбр</t>
        </is>
      </c>
      <c r="D30" t="inlineStr">
        <is>
          <t>12 одшбр</t>
        </is>
      </c>
      <c r="F30" t="inlineStr">
        <is>
          <t>13 ошп</t>
        </is>
      </c>
      <c r="H30" t="inlineStr">
        <is>
          <t>АГр, РУК 14 оабр</t>
        </is>
      </c>
      <c r="L30" t="inlineStr">
        <is>
          <t>ВСЬОГО</t>
        </is>
      </c>
    </row>
    <row r="31">
      <c r="A31" t="inlineStr">
        <is>
          <t>Кількість витрати боєприпасів</t>
        </is>
      </c>
    </row>
    <row r="32">
      <c r="A32" t="inlineStr">
        <is>
          <t>60 мм</t>
        </is>
      </c>
      <c r="B32">
        <f>B13</f>
        <v/>
      </c>
      <c r="C32">
        <f>C13</f>
        <v/>
      </c>
      <c r="D32">
        <f>D13</f>
        <v/>
      </c>
      <c r="E32">
        <f>E13</f>
        <v/>
      </c>
      <c r="F32">
        <f>F13</f>
        <v/>
      </c>
      <c r="G32">
        <f>G13</f>
        <v/>
      </c>
      <c r="H32">
        <f>H13</f>
        <v/>
      </c>
      <c r="I32">
        <f>I13</f>
        <v/>
      </c>
      <c r="J32">
        <f>J13</f>
        <v/>
      </c>
      <c r="K32">
        <f>K13</f>
        <v/>
      </c>
      <c r="L32">
        <f>L13</f>
        <v/>
      </c>
      <c r="M32">
        <f>M13</f>
        <v/>
      </c>
    </row>
    <row r="33">
      <c r="A33" t="inlineStr">
        <is>
          <t>82 мм</t>
        </is>
      </c>
      <c r="B33">
        <f>B14</f>
        <v/>
      </c>
      <c r="C33">
        <f>C14</f>
        <v/>
      </c>
      <c r="D33">
        <f>D14</f>
        <v/>
      </c>
      <c r="E33">
        <f>E14</f>
        <v/>
      </c>
      <c r="F33">
        <f>F14</f>
        <v/>
      </c>
      <c r="G33">
        <f>G14</f>
        <v/>
      </c>
      <c r="H33">
        <f>H14</f>
        <v/>
      </c>
      <c r="I33">
        <f>I14</f>
        <v/>
      </c>
      <c r="J33">
        <f>J14</f>
        <v/>
      </c>
      <c r="K33">
        <f>K14</f>
        <v/>
      </c>
      <c r="L33">
        <f>L14</f>
        <v/>
      </c>
      <c r="M33">
        <f>M14</f>
        <v/>
      </c>
    </row>
    <row r="34">
      <c r="A34" t="inlineStr">
        <is>
          <t>155 мм ОФ</t>
        </is>
      </c>
      <c r="B34">
        <f>B19+B20</f>
        <v/>
      </c>
      <c r="C34">
        <f>C19+C20</f>
        <v/>
      </c>
      <c r="D34">
        <f>D19+D20</f>
        <v/>
      </c>
      <c r="E34">
        <f>E19+E20</f>
        <v/>
      </c>
      <c r="F34">
        <f>F19+F20</f>
        <v/>
      </c>
      <c r="G34">
        <f>G19+G20</f>
        <v/>
      </c>
      <c r="H34">
        <f>H19+H20</f>
        <v/>
      </c>
      <c r="I34">
        <f>I19+I20</f>
        <v/>
      </c>
      <c r="J34">
        <f>J19+J20</f>
        <v/>
      </c>
      <c r="K34">
        <f>K19+K20</f>
        <v/>
      </c>
      <c r="L34">
        <f>L19+L20</f>
        <v/>
      </c>
      <c r="M34">
        <f>M19+M20</f>
        <v/>
      </c>
    </row>
  </sheetData>
  <mergeCells count="15">
    <mergeCell ref="L2:M2"/>
    <mergeCell ref="F2:G2"/>
    <mergeCell ref="B30:C30"/>
    <mergeCell ref="B2:C2"/>
    <mergeCell ref="H2:I2"/>
    <mergeCell ref="A1:M1"/>
    <mergeCell ref="D2:E2"/>
    <mergeCell ref="D30:E30"/>
    <mergeCell ref="F30:G30"/>
    <mergeCell ref="J30:K30"/>
    <mergeCell ref="J2:K2"/>
    <mergeCell ref="A3:M3"/>
    <mergeCell ref="A11:M11"/>
    <mergeCell ref="H30:I30"/>
    <mergeCell ref="L30:M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Витрата та залишок порохових зарядів</t>
        </is>
      </c>
    </row>
    <row r="2">
      <c r="A2" t="inlineStr">
        <is>
          <t>Сили (засоби)</t>
        </is>
      </c>
      <c r="B2" t="inlineStr">
        <is>
          <t>11 одшбр</t>
        </is>
      </c>
      <c r="D2" t="inlineStr">
        <is>
          <t>12 одшбр</t>
        </is>
      </c>
      <c r="F2" t="inlineStr">
        <is>
          <t>АГр 14 оабр</t>
        </is>
      </c>
      <c r="H2" t="inlineStr">
        <is>
          <t>99 омбр</t>
        </is>
      </c>
      <c r="J2" t="inlineStr">
        <is>
          <t>ВСЬОГО:</t>
        </is>
      </c>
    </row>
    <row r="3">
      <c r="A3" t="inlineStr">
        <is>
          <t xml:space="preserve">Кількість зарядів </t>
        </is>
      </c>
    </row>
    <row r="4">
      <c r="A4" t="inlineStr">
        <is>
          <t>ЗАРЯДИ</t>
        </is>
      </c>
      <c r="B4" t="inlineStr">
        <is>
          <t>витрата б/п</t>
        </is>
      </c>
      <c r="C4" t="inlineStr">
        <is>
          <t>залишок б/п</t>
        </is>
      </c>
      <c r="D4" t="inlineStr">
        <is>
          <t>витрата б/п</t>
        </is>
      </c>
      <c r="E4" t="inlineStr">
        <is>
          <t>залишок б/п</t>
        </is>
      </c>
      <c r="F4" t="inlineStr">
        <is>
          <t>витрата б/п</t>
        </is>
      </c>
      <c r="G4" t="inlineStr">
        <is>
          <t>залишок б/п</t>
        </is>
      </c>
      <c r="H4" t="inlineStr">
        <is>
          <t>витрата б/п</t>
        </is>
      </c>
      <c r="I4" t="inlineStr">
        <is>
          <t>залишок б/п</t>
        </is>
      </c>
      <c r="J4" t="inlineStr">
        <is>
          <t>витрата б/п</t>
        </is>
      </c>
      <c r="K4" t="inlineStr">
        <is>
          <t>залишок б/п</t>
        </is>
      </c>
    </row>
    <row r="5">
      <c r="A5" t="inlineStr">
        <is>
          <t>155мм М3А1</t>
        </is>
      </c>
      <c r="C5" t="n">
        <v>87</v>
      </c>
      <c r="F5" t="n">
        <v>4</v>
      </c>
      <c r="G5" t="n">
        <v>100</v>
      </c>
      <c r="J5">
        <f>B5+D5+F5+H5</f>
        <v/>
      </c>
      <c r="K5">
        <f>C5+E5+G5+I5</f>
        <v/>
      </c>
    </row>
    <row r="6">
      <c r="A6" t="inlineStr">
        <is>
          <t>М4А1</t>
        </is>
      </c>
      <c r="D6" t="n">
        <v>3</v>
      </c>
      <c r="E6" t="n">
        <v>200</v>
      </c>
      <c r="J6">
        <f>B6+D6+F6+H6</f>
        <v/>
      </c>
      <c r="K6">
        <f>C6+E6+G6+I6</f>
        <v/>
      </c>
    </row>
    <row r="7">
      <c r="A7" t="inlineStr">
        <is>
          <t>М119А1</t>
        </is>
      </c>
      <c r="G7" t="n">
        <v>50</v>
      </c>
      <c r="H7" t="n">
        <v>2</v>
      </c>
      <c r="I7" t="n">
        <v>9</v>
      </c>
      <c r="J7">
        <f>B7+D7+F7+H7</f>
        <v/>
      </c>
      <c r="K7">
        <f>C7+E7+G7+I7</f>
        <v/>
      </c>
    </row>
    <row r="8">
      <c r="A8" t="inlineStr">
        <is>
          <t xml:space="preserve">ВСЬОГО:  </t>
        </is>
      </c>
      <c r="B8">
        <f>SUM(B5:B7)</f>
        <v/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  <c r="K8">
        <f>SUM(K5:K7)</f>
        <v/>
      </c>
    </row>
  </sheetData>
  <mergeCells count="5"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втрати противника за ДОБУ</t>
        </is>
      </c>
    </row>
    <row r="2">
      <c r="B2" t="inlineStr">
        <is>
          <t>О\С</t>
        </is>
      </c>
      <c r="D2" t="inlineStr">
        <is>
          <t>ПУ, КП, КСП</t>
        </is>
      </c>
      <c r="E2" t="inlineStr">
        <is>
          <t>танки</t>
        </is>
      </c>
      <c r="G2" t="inlineStr">
        <is>
          <t>артилерія</t>
        </is>
      </c>
    </row>
    <row r="3">
      <c r="B3" t="inlineStr">
        <is>
          <t>200</t>
        </is>
      </c>
      <c r="C3" t="inlineStr">
        <is>
          <t>300</t>
        </is>
      </c>
      <c r="D3" t="inlineStr">
        <is>
          <t>знищ</t>
        </is>
      </c>
      <c r="E3" t="inlineStr">
        <is>
          <t>знищ</t>
        </is>
      </c>
      <c r="F3" t="inlineStr">
        <is>
          <t>пошк</t>
        </is>
      </c>
      <c r="G3" t="inlineStr">
        <is>
          <t>знищ</t>
        </is>
      </c>
      <c r="H3" t="inlineStr">
        <is>
          <t>пошк</t>
        </is>
      </c>
    </row>
    <row r="4">
      <c r="A4" t="inlineStr">
        <is>
          <t>11 одшбр</t>
        </is>
      </c>
      <c r="B4" t="n">
        <v>1</v>
      </c>
      <c r="C4" t="n">
        <v>3</v>
      </c>
      <c r="F4" t="n">
        <v>2</v>
      </c>
      <c r="G4" t="n">
        <v>1</v>
      </c>
    </row>
    <row r="5">
      <c r="A5" t="inlineStr">
        <is>
          <t>12 одшбр</t>
        </is>
      </c>
    </row>
    <row r="6">
      <c r="A6" t="inlineStr">
        <is>
          <t>АГр 14 оабр</t>
        </is>
      </c>
    </row>
    <row r="8">
      <c r="A8" t="inlineStr">
        <is>
          <t>ВСЬОГО</t>
        </is>
      </c>
      <c r="B8">
        <f>SUM(B4:B6)</f>
        <v/>
      </c>
      <c r="C8">
        <f>SUM(C4:C6)</f>
        <v/>
      </c>
      <c r="D8">
        <f>SUM(D4:D6)</f>
        <v/>
      </c>
      <c r="E8">
        <f>SUM(E4:E6)</f>
        <v/>
      </c>
      <c r="F8">
        <f>SUM(F4:F6)</f>
        <v/>
      </c>
      <c r="G8">
        <f>SUM(G4:G6)</f>
        <v/>
      </c>
      <c r="H8">
        <f>SUM(H4:H6)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Артилерійські підрозділи </t>
        </is>
      </c>
      <c r="B1" t="inlineStr">
        <is>
          <t xml:space="preserve"> Всього виконано ВгЗ</t>
        </is>
      </c>
      <c r="C1" t="inlineStr">
        <is>
          <t>З  них КББ</t>
        </is>
      </c>
      <c r="D1" t="inlineStr">
        <is>
          <t xml:space="preserve">Витрата </t>
        </is>
      </c>
    </row>
    <row r="2">
      <c r="D2" t="inlineStr">
        <is>
          <t>155 мм</t>
        </is>
      </c>
      <c r="E2" t="inlineStr">
        <is>
          <t>152</t>
        </is>
      </c>
      <c r="F2" t="inlineStr">
        <is>
          <t>122 мм</t>
        </is>
      </c>
      <c r="G2" t="inlineStr">
        <is>
          <t>122 мм РС</t>
        </is>
      </c>
      <c r="H2" t="inlineStr">
        <is>
          <t>105 мм</t>
        </is>
      </c>
      <c r="I2" t="inlineStr">
        <is>
          <t>120 мм</t>
        </is>
      </c>
      <c r="J2" t="inlineStr">
        <is>
          <t>82 мм</t>
        </is>
      </c>
      <c r="K2" t="inlineStr">
        <is>
          <t>60 мм</t>
        </is>
      </c>
      <c r="L2" t="inlineStr">
        <is>
          <t>ВСЬОГО</t>
        </is>
      </c>
    </row>
    <row r="3">
      <c r="A3" t="inlineStr">
        <is>
          <t>11 одшбр</t>
        </is>
      </c>
      <c r="B3" t="n">
        <v>10</v>
      </c>
      <c r="C3" t="n">
        <v>4</v>
      </c>
      <c r="D3">
        <f>'витр.залиш.-СН'!B13</f>
        <v/>
      </c>
      <c r="E3">
        <f>'витр.залиш.-СН'!B14</f>
        <v/>
      </c>
      <c r="F3">
        <f>'витр.залиш.-СН'!B15</f>
        <v/>
      </c>
      <c r="G3">
        <f>'витр.залиш.-СН'!B16</f>
        <v/>
      </c>
      <c r="H3">
        <f>'витр.залиш.-СН'!B17</f>
        <v/>
      </c>
      <c r="I3">
        <f>'витр.залиш.-СН'!B18</f>
        <v/>
      </c>
      <c r="J3">
        <f>'витр.залиш.-СН'!B19</f>
        <v/>
      </c>
      <c r="K3">
        <f>'витр.залиш.-СН'!B20</f>
        <v/>
      </c>
      <c r="L3">
        <f>SUM(D3:K3)</f>
        <v/>
      </c>
    </row>
    <row r="4">
      <c r="A4" t="inlineStr">
        <is>
          <t>12 одшбр</t>
        </is>
      </c>
      <c r="B4" t="n">
        <v>11</v>
      </c>
      <c r="C4" t="n">
        <v>5</v>
      </c>
      <c r="D4">
        <f>'витр.залиш.-СН'!D13</f>
        <v/>
      </c>
      <c r="E4">
        <f>'витр.залиш.-СН'!D14</f>
        <v/>
      </c>
      <c r="F4">
        <f>'витр.залиш.-СН'!D15</f>
        <v/>
      </c>
      <c r="G4">
        <f>'витр.залиш.-СН'!D16</f>
        <v/>
      </c>
      <c r="H4">
        <f>'витр.залиш.-СН'!D17</f>
        <v/>
      </c>
      <c r="I4">
        <f>'витр.залиш.-СН'!D18</f>
        <v/>
      </c>
      <c r="J4">
        <f>'витр.залиш.-СН'!D19</f>
        <v/>
      </c>
      <c r="K4">
        <f>'витр.залиш.-СН'!D20</f>
        <v/>
      </c>
      <c r="L4">
        <f>SUM(D4:K4)</f>
        <v/>
      </c>
    </row>
    <row r="5">
      <c r="A5" t="inlineStr">
        <is>
          <t>13 ошп</t>
        </is>
      </c>
      <c r="B5" t="n">
        <v>12</v>
      </c>
      <c r="C5" t="n">
        <v>6</v>
      </c>
      <c r="D5">
        <f>'витр.залиш.-СН'!F13</f>
        <v/>
      </c>
      <c r="E5">
        <f>'витр.залиш.-СН'!F14</f>
        <v/>
      </c>
      <c r="F5">
        <f>'витр.залиш.-СН'!F15</f>
        <v/>
      </c>
      <c r="G5">
        <f>'витр.залиш.-СН'!F16</f>
        <v/>
      </c>
      <c r="H5">
        <f>'витр.залиш.-СН'!F17</f>
        <v/>
      </c>
      <c r="I5">
        <f>'витр.залиш.-СН'!F18</f>
        <v/>
      </c>
      <c r="J5">
        <f>'витр.залиш.-СН'!F19</f>
        <v/>
      </c>
      <c r="K5">
        <f>'витр.залиш.-СН'!F20</f>
        <v/>
      </c>
      <c r="L5">
        <f>SUM(D5:K5)</f>
        <v/>
      </c>
    </row>
    <row r="6">
      <c r="A6" t="inlineStr">
        <is>
          <t>АГр 14 оабр</t>
        </is>
      </c>
      <c r="B6" t="n">
        <v>13</v>
      </c>
      <c r="C6" t="n">
        <v>7</v>
      </c>
      <c r="D6">
        <f>'витр.залиш.-СН'!H13</f>
        <v/>
      </c>
      <c r="E6">
        <f>'витр.залиш.-СН'!H14</f>
        <v/>
      </c>
      <c r="F6">
        <f>'витр.залиш.-СН'!H15</f>
        <v/>
      </c>
      <c r="G6">
        <f>'витр.залиш.-СН'!H16</f>
        <v/>
      </c>
      <c r="H6">
        <f>'витр.залиш.-СН'!H17</f>
        <v/>
      </c>
      <c r="I6">
        <f>'витр.залиш.-СН'!H18</f>
        <v/>
      </c>
      <c r="J6">
        <f>'витр.залиш.-СН'!H19</f>
        <v/>
      </c>
      <c r="K6">
        <f>'витр.залиш.-СН'!H20</f>
        <v/>
      </c>
      <c r="L6">
        <f>SUM(D6:K6)</f>
        <v/>
      </c>
    </row>
    <row r="7">
      <c r="A7" t="inlineStr">
        <is>
          <t>21 омбр</t>
        </is>
      </c>
      <c r="D7">
        <f>'витр.залиш.-СН'!J13</f>
        <v/>
      </c>
      <c r="E7">
        <f>'витр.залиш.-СН'!J14</f>
        <v/>
      </c>
      <c r="F7">
        <f>'витр.залиш.-СН'!J15</f>
        <v/>
      </c>
      <c r="G7">
        <f>'витр.залиш.-СН'!J16</f>
        <v/>
      </c>
      <c r="H7">
        <f>'витр.залиш.-СН'!J17</f>
        <v/>
      </c>
      <c r="I7">
        <f>'витр.залиш.-СН'!J18</f>
        <v/>
      </c>
      <c r="J7">
        <f>'витр.залиш.-СН'!J19</f>
        <v/>
      </c>
      <c r="K7">
        <f>'витр.залиш.-СН'!J20</f>
        <v/>
      </c>
      <c r="L7">
        <f>SUM(D7:K7)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B34"/>
  <sheetViews>
    <sheetView workbookViewId="0">
      <selection activeCell="A1" sqref="A1"/>
    </sheetView>
  </sheetViews>
  <sheetFormatPr baseColWidth="8" defaultRowHeight="15"/>
  <sheetData>
    <row r="3">
      <c r="A3" t="inlineStr">
        <is>
          <t>Сили (засоби)</t>
        </is>
      </c>
    </row>
    <row r="34">
      <c r="B3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7:F7"/>
  <sheetViews>
    <sheetView workbookViewId="0">
      <selection activeCell="A1" sqref="A1"/>
    </sheetView>
  </sheetViews>
  <sheetFormatPr baseColWidth="8" defaultRowHeight="15"/>
  <sheetData>
    <row r="7">
      <c r="B7" t="inlineStr">
        <is>
          <t>№ п/п</t>
        </is>
      </c>
      <c r="C7" t="inlineStr">
        <is>
          <t>Калібр</t>
        </is>
      </c>
      <c r="D7" t="inlineStr">
        <is>
          <t>Витрата</t>
        </is>
      </c>
      <c r="E7" t="inlineStr">
        <is>
          <t>Залишок</t>
        </is>
      </c>
      <c r="F7" t="inlineStr">
        <is>
          <t>Потреба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2026-10-09T10:28:27Z</dcterms:created>
  <dcterms:modified xsi:type="dcterms:W3CDTF">2026-10-09T10:28:27Z</dcterms:modified>
</cp:coreProperties>
</file>